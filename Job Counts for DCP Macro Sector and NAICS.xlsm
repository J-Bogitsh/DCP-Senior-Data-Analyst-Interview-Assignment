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florencebogitsh/Desktop/Projects/DCP/Interview Sr Analyst/DCP Senior Data Analyst Exercise Materials/"/>
    </mc:Choice>
  </mc:AlternateContent>
  <xr:revisionPtr revIDLastSave="0" documentId="13_ncr:9_{1CF6FAC0-B780-1047-9AD6-C0B1F498B0F7}" xr6:coauthVersionLast="47" xr6:coauthVersionMax="47" xr10:uidLastSave="{00000000-0000-0000-0000-000000000000}"/>
  <bookViews>
    <workbookView xWindow="780" yWindow="1000" windowWidth="27640" windowHeight="15740" xr2:uid="{C6A01282-E5AC-3D46-9903-BD41201F5C4E}"/>
  </bookViews>
  <sheets>
    <sheet name="Sheet1" sheetId="2" r:id="rId1"/>
    <sheet name="cd_402_wac_totals" sheetId="1" r:id="rId2"/>
  </sheets>
  <calcPr calcId="191029"/>
  <pivotCaches>
    <pivotCache cacheId="4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2" l="1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</calcChain>
</file>

<file path=xl/sharedStrings.xml><?xml version="1.0" encoding="utf-8"?>
<sst xmlns="http://schemas.openxmlformats.org/spreadsheetml/2006/main" count="97" uniqueCount="56">
  <si>
    <t>WAC Code</t>
  </si>
  <si>
    <t>WAC Total</t>
  </si>
  <si>
    <t>NAICS Code</t>
  </si>
  <si>
    <t>NAICS Title</t>
  </si>
  <si>
    <t>DCP Macro Sector</t>
  </si>
  <si>
    <t>CNS01</t>
  </si>
  <si>
    <t>Agriculture, Forestry, Fishing and Hunting</t>
  </si>
  <si>
    <t>Industrial</t>
  </si>
  <si>
    <t>CNS02</t>
  </si>
  <si>
    <t>Mining, Quarrying, and Oil and Gas Extraction</t>
  </si>
  <si>
    <t>CNS03</t>
  </si>
  <si>
    <t>Utilities</t>
  </si>
  <si>
    <t>CNS04</t>
  </si>
  <si>
    <t>Construction</t>
  </si>
  <si>
    <t>CNS05</t>
  </si>
  <si>
    <t>31-33</t>
  </si>
  <si>
    <t>Manufacturing</t>
  </si>
  <si>
    <t>CNS06</t>
  </si>
  <si>
    <t>Wholesale Trade</t>
  </si>
  <si>
    <t>CNS07</t>
  </si>
  <si>
    <t>44-45</t>
  </si>
  <si>
    <t>Retail Trade</t>
  </si>
  <si>
    <t>Local Services</t>
  </si>
  <si>
    <t>CNS08</t>
  </si>
  <si>
    <t>48-49</t>
  </si>
  <si>
    <t>Transportation and Warehousing</t>
  </si>
  <si>
    <t>CNS09</t>
  </si>
  <si>
    <t>Information</t>
  </si>
  <si>
    <t>Office</t>
  </si>
  <si>
    <t>CNS10</t>
  </si>
  <si>
    <t>Finance and Insurance</t>
  </si>
  <si>
    <t>CNS11</t>
  </si>
  <si>
    <t>Real Estate and Rental and Leasing</t>
  </si>
  <si>
    <t>CNS12</t>
  </si>
  <si>
    <t>Professional, Scientific, and Technical Services</t>
  </si>
  <si>
    <t>CNS13</t>
  </si>
  <si>
    <t>Management of Companies and Enterprises</t>
  </si>
  <si>
    <t>CNS14</t>
  </si>
  <si>
    <t>Administrative and Support and Waste Management and Remediation Services</t>
  </si>
  <si>
    <t>CNS15</t>
  </si>
  <si>
    <t>Educational Services</t>
  </si>
  <si>
    <t>Institutional</t>
  </si>
  <si>
    <t>CNS16</t>
  </si>
  <si>
    <t>Health Care and Social Assistance</t>
  </si>
  <si>
    <t>CNS17</t>
  </si>
  <si>
    <t>Arts, Entertainment, and Recreation</t>
  </si>
  <si>
    <t>CNS18</t>
  </si>
  <si>
    <t>Accommodation and Food Services</t>
  </si>
  <si>
    <t>CNS19</t>
  </si>
  <si>
    <t>Other Services [except Public Administration]</t>
  </si>
  <si>
    <t>CNS20</t>
  </si>
  <si>
    <t>Public Administration</t>
  </si>
  <si>
    <t>Grand Total</t>
  </si>
  <si>
    <t>Total Jobs</t>
  </si>
  <si>
    <t>Industry</t>
  </si>
  <si>
    <t>Percent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</si>
</sst>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9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1"/>
      <name val="Aptos Narrow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4" tint="0.59999389629810485"/>
      </bottom>
      <diagonal/>
    </border>
    <border>
      <left/>
      <right/>
      <top style="thin">
        <color theme="4" tint="0.59999389629810485"/>
      </top>
      <bottom style="thin">
        <color theme="4" tint="0.59999389629810485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43" fontId="0" fillId="0" borderId="0" xfId="0" applyNumberFormat="1"/>
    <xf numFmtId="9" fontId="0" fillId="0" borderId="0" xfId="1" applyFont="1"/>
    <xf numFmtId="9" fontId="0" fillId="0" borderId="0" xfId="0" applyNumberFormat="1"/>
    <xf numFmtId="43" fontId="0" fillId="0" borderId="12" xfId="0" applyNumberFormat="1" applyBorder="1"/>
    <xf numFmtId="9" fontId="18" fillId="0" borderId="12" xfId="1" applyFont="1" applyBorder="1"/>
    <xf numFmtId="43" fontId="0" fillId="0" borderId="13" xfId="0" applyNumberFormat="1" applyBorder="1"/>
    <xf numFmtId="9" fontId="0" fillId="0" borderId="13" xfId="1" applyFont="1" applyBorder="1"/>
    <xf numFmtId="43" fontId="16" fillId="33" borderId="10" xfId="0" applyNumberFormat="1" applyFont="1" applyFill="1" applyBorder="1"/>
    <xf numFmtId="10" fontId="18" fillId="34" borderId="12" xfId="1" applyNumberFormat="1" applyFont="1" applyFill="1" applyBorder="1"/>
    <xf numFmtId="10" fontId="0" fillId="34" borderId="0" xfId="1" applyNumberFormat="1" applyFont="1" applyFill="1"/>
    <xf numFmtId="10" fontId="0" fillId="34" borderId="13" xfId="1" applyNumberFormat="1" applyFont="1" applyFill="1" applyBorder="1"/>
    <xf numFmtId="10" fontId="16" fillId="33" borderId="11" xfId="1" applyNumberFormat="1" applyFont="1" applyFill="1" applyBorder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8">
    <dxf>
      <border>
        <bottom style="thin">
          <color theme="4" tint="0.59999389629810485"/>
        </bottom>
      </border>
    </dxf>
    <dxf>
      <border>
        <bottom style="thin">
          <color theme="4" tint="0.59999389629810485"/>
        </bottom>
      </border>
    </dxf>
    <dxf>
      <border>
        <bottom style="thin">
          <color theme="4" tint="0.59999389629810485"/>
        </bottom>
      </border>
    </dxf>
    <dxf>
      <border>
        <bottom style="thin">
          <color theme="4" tint="0.59999389629810485"/>
        </bottom>
      </border>
    </dxf>
    <dxf>
      <border>
        <bottom style="thin">
          <color theme="4" tint="0.59999389629810485"/>
        </bottom>
      </border>
    </dxf>
    <dxf>
      <border>
        <bottom style="thin">
          <color theme="4" tint="0.59999389629810485"/>
        </bottom>
      </border>
    </dxf>
    <dxf>
      <numFmt numFmtId="35" formatCode="_(* #,##0.00_);_(* \(#,##0.00\);_(* &quot;-&quot;??_);_(@_)"/>
    </dxf>
    <dxf>
      <numFmt numFmtId="35" formatCode="_(* #,##0.00_);_(* \(#,##0.00\);_(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lorence Bogitsh" refreshedDate="45467.03582164352" createdVersion="8" refreshedVersion="8" minRefreshableVersion="3" recordCount="20" xr:uid="{1244A03A-4713-7A4A-B003-7510B702E2E3}">
  <cacheSource type="worksheet">
    <worksheetSource ref="A1:E21" sheet="cd_402_wac_totals"/>
  </cacheSource>
  <cacheFields count="5">
    <cacheField name="WAC Code" numFmtId="0">
      <sharedItems/>
    </cacheField>
    <cacheField name="WAC Total" numFmtId="0">
      <sharedItems containsSemiMixedTypes="0" containsString="0" containsNumber="1" containsInteger="1" minValue="0" maxValue="14861"/>
    </cacheField>
    <cacheField name="NAICS Code" numFmtId="0">
      <sharedItems containsMixedTypes="1" containsNumber="1" containsInteger="1" minValue="11" maxValue="92"/>
    </cacheField>
    <cacheField name="NAICS Title" numFmtId="0">
      <sharedItems count="20">
        <s v="Agriculture, Forestry, Fishing and Hunting"/>
        <s v="Mining, Quarrying, and Oil and Gas Extraction"/>
        <s v="Utilities"/>
        <s v="Construction"/>
        <s v="Manufacturing"/>
        <s v="Wholesale Trade"/>
        <s v="Retail Trade"/>
        <s v="Transportation and Warehousing"/>
        <s v="Information"/>
        <s v="Finance and Insurance"/>
        <s v="Real Estate and Rental and Leasing"/>
        <s v="Professional, Scientific, and Technical Services"/>
        <s v="Management of Companies and Enterprises"/>
        <s v="Administrative and Support and Waste Management and Remediation Services"/>
        <s v="Educational Services"/>
        <s v="Health Care and Social Assistance"/>
        <s v="Arts, Entertainment, and Recreation"/>
        <s v="Accommodation and Food Services"/>
        <s v="Other Services [except Public Administration]"/>
        <s v="Public Administration"/>
      </sharedItems>
    </cacheField>
    <cacheField name="DCP Macro Sector" numFmtId="0">
      <sharedItems count="5">
        <s v="Industrial"/>
        <s v="Local Services"/>
        <s v="Office"/>
        <s v="Institutional"/>
        <s v="Public Administratio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s v="CNS01"/>
    <n v="6"/>
    <n v="11"/>
    <x v="0"/>
    <x v="0"/>
  </r>
  <r>
    <s v="CNS02"/>
    <n v="0"/>
    <n v="21"/>
    <x v="1"/>
    <x v="0"/>
  </r>
  <r>
    <s v="CNS03"/>
    <n v="13"/>
    <n v="22"/>
    <x v="2"/>
    <x v="0"/>
  </r>
  <r>
    <s v="CNS04"/>
    <n v="13187"/>
    <n v="23"/>
    <x v="3"/>
    <x v="0"/>
  </r>
  <r>
    <s v="CNS05"/>
    <n v="4476"/>
    <s v="31-33"/>
    <x v="4"/>
    <x v="0"/>
  </r>
  <r>
    <s v="CNS06"/>
    <n v="4738"/>
    <n v="42"/>
    <x v="5"/>
    <x v="0"/>
  </r>
  <r>
    <s v="CNS07"/>
    <n v="6874"/>
    <s v="44-45"/>
    <x v="6"/>
    <x v="1"/>
  </r>
  <r>
    <s v="CNS08"/>
    <n v="5490"/>
    <s v="48-49"/>
    <x v="7"/>
    <x v="0"/>
  </r>
  <r>
    <s v="CNS09"/>
    <n v="1334"/>
    <n v="51"/>
    <x v="8"/>
    <x v="2"/>
  </r>
  <r>
    <s v="CNS10"/>
    <n v="2871"/>
    <n v="52"/>
    <x v="9"/>
    <x v="2"/>
  </r>
  <r>
    <s v="CNS11"/>
    <n v="1656"/>
    <n v="53"/>
    <x v="10"/>
    <x v="2"/>
  </r>
  <r>
    <s v="CNS12"/>
    <n v="2911"/>
    <n v="54"/>
    <x v="11"/>
    <x v="2"/>
  </r>
  <r>
    <s v="CNS13"/>
    <n v="238"/>
    <n v="55"/>
    <x v="12"/>
    <x v="2"/>
  </r>
  <r>
    <s v="CNS14"/>
    <n v="14861"/>
    <n v="56"/>
    <x v="13"/>
    <x v="2"/>
  </r>
  <r>
    <s v="CNS15"/>
    <n v="3804"/>
    <n v="61"/>
    <x v="14"/>
    <x v="3"/>
  </r>
  <r>
    <s v="CNS16"/>
    <n v="6790"/>
    <n v="62"/>
    <x v="15"/>
    <x v="3"/>
  </r>
  <r>
    <s v="CNS17"/>
    <n v="277"/>
    <n v="71"/>
    <x v="16"/>
    <x v="1"/>
  </r>
  <r>
    <s v="CNS18"/>
    <n v="3203"/>
    <n v="72"/>
    <x v="17"/>
    <x v="1"/>
  </r>
  <r>
    <s v="CNS19"/>
    <n v="1914"/>
    <n v="81"/>
    <x v="18"/>
    <x v="1"/>
  </r>
  <r>
    <s v="CNS20"/>
    <n v="12978"/>
    <n v="92"/>
    <x v="19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327236-9373-5345-90BE-4A2D24CDEF53}" name="PivotTable1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 rowHeaderCaption="Industry">
  <location ref="A3:B29" firstHeaderRow="1" firstDataRow="1" firstDataCol="1"/>
  <pivotFields count="5">
    <pivotField showAll="0"/>
    <pivotField dataField="1" showAll="0"/>
    <pivotField showAll="0"/>
    <pivotField axis="axisRow" showAll="0">
      <items count="21">
        <item x="17"/>
        <item x="13"/>
        <item x="0"/>
        <item x="16"/>
        <item x="3"/>
        <item x="14"/>
        <item x="9"/>
        <item x="15"/>
        <item x="8"/>
        <item x="12"/>
        <item x="4"/>
        <item x="1"/>
        <item x="18"/>
        <item x="11"/>
        <item x="19"/>
        <item x="10"/>
        <item x="6"/>
        <item x="7"/>
        <item x="2"/>
        <item x="5"/>
        <item t="default"/>
      </items>
    </pivotField>
    <pivotField axis="axisRow" showAll="0">
      <items count="6">
        <item x="0"/>
        <item x="3"/>
        <item x="1"/>
        <item x="2"/>
        <item x="4"/>
        <item t="default"/>
      </items>
    </pivotField>
  </pivotFields>
  <rowFields count="2">
    <field x="4"/>
    <field x="3"/>
  </rowFields>
  <rowItems count="26">
    <i>
      <x/>
    </i>
    <i r="1">
      <x v="2"/>
    </i>
    <i r="1">
      <x v="4"/>
    </i>
    <i r="1">
      <x v="10"/>
    </i>
    <i r="1">
      <x v="11"/>
    </i>
    <i r="1">
      <x v="17"/>
    </i>
    <i r="1">
      <x v="18"/>
    </i>
    <i r="1">
      <x v="19"/>
    </i>
    <i>
      <x v="1"/>
    </i>
    <i r="1">
      <x v="5"/>
    </i>
    <i r="1">
      <x v="7"/>
    </i>
    <i>
      <x v="2"/>
    </i>
    <i r="1">
      <x/>
    </i>
    <i r="1">
      <x v="3"/>
    </i>
    <i r="1">
      <x v="12"/>
    </i>
    <i r="1">
      <x v="16"/>
    </i>
    <i>
      <x v="3"/>
    </i>
    <i r="1">
      <x v="1"/>
    </i>
    <i r="1">
      <x v="6"/>
    </i>
    <i r="1">
      <x v="8"/>
    </i>
    <i r="1">
      <x v="9"/>
    </i>
    <i r="1">
      <x v="13"/>
    </i>
    <i r="1">
      <x v="15"/>
    </i>
    <i>
      <x v="4"/>
    </i>
    <i r="1">
      <x v="14"/>
    </i>
    <i t="grand">
      <x/>
    </i>
  </rowItems>
  <colItems count="1">
    <i/>
  </colItems>
  <dataFields count="1">
    <dataField name="Total Jobs" fld="1" baseField="0" baseItem="0" numFmtId="43"/>
  </dataFields>
  <formats count="8">
    <format dxfId="7">
      <pivotArea outline="0" collapsedLevelsAreSubtotals="1" fieldPosition="0"/>
    </format>
    <format dxfId="6">
      <pivotArea dataOnly="0" labelOnly="1" outline="0" axis="axisValues" fieldPosition="0"/>
    </format>
    <format dxfId="5">
      <pivotArea collapsedLevelsAreSubtotals="1" fieldPosition="0">
        <references count="1">
          <reference field="4" count="1">
            <x v="0"/>
          </reference>
        </references>
      </pivotArea>
    </format>
    <format dxfId="4">
      <pivotArea collapsedLevelsAreSubtotals="1" fieldPosition="0">
        <references count="1">
          <reference field="4" count="1">
            <x v="1"/>
          </reference>
        </references>
      </pivotArea>
    </format>
    <format dxfId="3">
      <pivotArea collapsedLevelsAreSubtotals="1" fieldPosition="0">
        <references count="1">
          <reference field="4" count="1">
            <x v="2"/>
          </reference>
        </references>
      </pivotArea>
    </format>
    <format dxfId="2">
      <pivotArea collapsedLevelsAreSubtotals="1" fieldPosition="0">
        <references count="1">
          <reference field="4" count="1">
            <x v="3"/>
          </reference>
        </references>
      </pivotArea>
    </format>
    <format dxfId="1">
      <pivotArea collapsedLevelsAreSubtotals="1" fieldPosition="0">
        <references count="1">
          <reference field="4" count="1">
            <x v="4"/>
          </reference>
        </references>
      </pivotArea>
    </format>
    <format dxfId="0">
      <pivotArea collapsedLevelsAreSubtotals="1" fieldPosition="0">
        <references count="2">
          <reference field="3" count="1">
            <x v="14"/>
          </reference>
          <reference field="4" count="1" selected="0"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1E2E6-5950-2F4F-88D6-3FACB1E616F8}">
  <dimension ref="A3:E29"/>
  <sheetViews>
    <sheetView tabSelected="1" workbookViewId="0">
      <selection activeCell="A3" sqref="A3"/>
    </sheetView>
  </sheetViews>
  <sheetFormatPr baseColWidth="10" defaultRowHeight="16" x14ac:dyDescent="0.2"/>
  <cols>
    <col min="1" max="1" width="68.5" bestFit="1" customWidth="1"/>
    <col min="2" max="2" width="15.6640625" bestFit="1" customWidth="1"/>
    <col min="3" max="3" width="12.1640625" bestFit="1" customWidth="1"/>
  </cols>
  <sheetData>
    <row r="3" spans="1:5" x14ac:dyDescent="0.2">
      <c r="A3" s="1" t="s">
        <v>54</v>
      </c>
      <c r="B3" s="4" t="s">
        <v>53</v>
      </c>
      <c r="C3" s="11" t="s">
        <v>55</v>
      </c>
    </row>
    <row r="4" spans="1:5" x14ac:dyDescent="0.2">
      <c r="A4" s="2" t="s">
        <v>7</v>
      </c>
      <c r="B4" s="7">
        <v>27910</v>
      </c>
      <c r="C4" s="12">
        <f>GETPIVOTDATA("WAC Total",$A$3,"DCP Macro Sector","Industrial")/GETPIVOTDATA("WAC Total",$A$3)</f>
        <v>0.31853094577783864</v>
      </c>
      <c r="E4" s="8"/>
    </row>
    <row r="5" spans="1:5" x14ac:dyDescent="0.2">
      <c r="A5" s="3" t="s">
        <v>6</v>
      </c>
      <c r="B5" s="4">
        <v>6</v>
      </c>
      <c r="C5" s="13">
        <f>GETPIVOTDATA("WAC Total",$A$3,"NAICS Title","Agriculture, Forestry, Fishing and Hunting","DCP Macro Sector","Industrial")/GETPIVOTDATA("WAC Total",$A$3)</f>
        <v>6.8476735029273801E-5</v>
      </c>
      <c r="D5" s="6"/>
      <c r="E5" s="5"/>
    </row>
    <row r="6" spans="1:5" x14ac:dyDescent="0.2">
      <c r="A6" s="3" t="s">
        <v>13</v>
      </c>
      <c r="B6" s="4">
        <v>13187</v>
      </c>
      <c r="C6" s="13">
        <f>GETPIVOTDATA("WAC Total",$A$3,"NAICS Title","Construction","DCP Macro Sector","Industrial")/GETPIVOTDATA("WAC Total",$A$3)</f>
        <v>0.15050045080517227</v>
      </c>
      <c r="E6" s="5"/>
    </row>
    <row r="7" spans="1:5" x14ac:dyDescent="0.2">
      <c r="A7" s="3" t="s">
        <v>16</v>
      </c>
      <c r="B7" s="4">
        <v>4476</v>
      </c>
      <c r="C7" s="13">
        <f>GETPIVOTDATA("WAC Total",$A$3,"NAICS Title","Manufacturing","DCP Macro Sector","Industrial")/GETPIVOTDATA("WAC Total",$A$3)</f>
        <v>5.1083644331838256E-2</v>
      </c>
      <c r="E7" s="5"/>
    </row>
    <row r="8" spans="1:5" x14ac:dyDescent="0.2">
      <c r="A8" s="3" t="s">
        <v>9</v>
      </c>
      <c r="B8" s="4">
        <v>0</v>
      </c>
      <c r="C8" s="13">
        <f>GETPIVOTDATA("WAC Total",$A$3,"NAICS Title","Mining, Quarrying, and Oil and Gas Extraction","DCP Macro Sector","Industrial")/GETPIVOTDATA("WAC Total",$A$3)</f>
        <v>0</v>
      </c>
      <c r="E8" s="5"/>
    </row>
    <row r="9" spans="1:5" x14ac:dyDescent="0.2">
      <c r="A9" s="3" t="s">
        <v>25</v>
      </c>
      <c r="B9" s="4">
        <v>5490</v>
      </c>
      <c r="C9" s="13">
        <f>GETPIVOTDATA("WAC Total",$A$3,"NAICS Title","Transportation and Warehousing","DCP Macro Sector","Industrial")/GETPIVOTDATA("WAC Total",$A$3)</f>
        <v>6.2656212551785537E-2</v>
      </c>
      <c r="E9" s="5"/>
    </row>
    <row r="10" spans="1:5" x14ac:dyDescent="0.2">
      <c r="A10" s="3" t="s">
        <v>11</v>
      </c>
      <c r="B10" s="4">
        <v>13</v>
      </c>
      <c r="C10" s="13">
        <f>GETPIVOTDATA("WAC Total",$A$3,"NAICS Title","Utilities","DCP Macro Sector","Industrial")/GETPIVOTDATA("WAC Total",$A$3)</f>
        <v>1.4836625923009324E-4</v>
      </c>
      <c r="E10" s="5"/>
    </row>
    <row r="11" spans="1:5" x14ac:dyDescent="0.2">
      <c r="A11" s="3" t="s">
        <v>18</v>
      </c>
      <c r="B11" s="4">
        <v>4738</v>
      </c>
      <c r="C11" s="13">
        <f>GETPIVOTDATA("WAC Total",$A$3,"NAICS Title","Wholesale Trade","DCP Macro Sector","Industrial")/GETPIVOTDATA("WAC Total",$A$3)</f>
        <v>5.4073795094783217E-2</v>
      </c>
      <c r="E11" s="5"/>
    </row>
    <row r="12" spans="1:5" x14ac:dyDescent="0.2">
      <c r="A12" s="2" t="s">
        <v>41</v>
      </c>
      <c r="B12" s="7">
        <v>10594</v>
      </c>
      <c r="C12" s="12">
        <f>GETPIVOTDATA("WAC Total",$A$3,"DCP Macro Sector","Institutional")/GETPIVOTDATA("WAC Total",$A$3)</f>
        <v>0.12090708848335445</v>
      </c>
      <c r="E12" s="8"/>
    </row>
    <row r="13" spans="1:5" x14ac:dyDescent="0.2">
      <c r="A13" s="3" t="s">
        <v>40</v>
      </c>
      <c r="B13" s="4">
        <v>3804</v>
      </c>
      <c r="C13" s="13">
        <f>GETPIVOTDATA("WAC Total",$A$3,"NAICS Title","Educational Services","DCP Macro Sector","Institutional")/GETPIVOTDATA("WAC Total",$A$3)</f>
        <v>4.3414250008559592E-2</v>
      </c>
      <c r="E13" s="5"/>
    </row>
    <row r="14" spans="1:5" x14ac:dyDescent="0.2">
      <c r="A14" s="3" t="s">
        <v>43</v>
      </c>
      <c r="B14" s="4">
        <v>6790</v>
      </c>
      <c r="C14" s="13">
        <f>GETPIVOTDATA("WAC Total",$A$3,"NAICS Title","Health Care and Social Assistance","DCP Macro Sector","Institutional")/GETPIVOTDATA("WAC Total",$A$3)</f>
        <v>7.7492838474794851E-2</v>
      </c>
      <c r="E14" s="5"/>
    </row>
    <row r="15" spans="1:5" x14ac:dyDescent="0.2">
      <c r="A15" s="2" t="s">
        <v>22</v>
      </c>
      <c r="B15" s="7">
        <v>12268</v>
      </c>
      <c r="C15" s="12">
        <f>GETPIVOTDATA("WAC Total",$A$3,"DCP Macro Sector","Local Services")/GETPIVOTDATA("WAC Total",$A$3)</f>
        <v>0.14001209755652183</v>
      </c>
      <c r="E15" s="8"/>
    </row>
    <row r="16" spans="1:5" x14ac:dyDescent="0.2">
      <c r="A16" s="3" t="s">
        <v>47</v>
      </c>
      <c r="B16" s="4">
        <v>3203</v>
      </c>
      <c r="C16" s="13">
        <f>GETPIVOTDATA("WAC Total",$A$3,"NAICS Title","Accommodation and Food Services","DCP Macro Sector","Local Services")/GETPIVOTDATA("WAC Total",$A$3)</f>
        <v>3.6555163716460663E-2</v>
      </c>
      <c r="E16" s="5"/>
    </row>
    <row r="17" spans="1:5" x14ac:dyDescent="0.2">
      <c r="A17" s="3" t="s">
        <v>45</v>
      </c>
      <c r="B17" s="4">
        <v>277</v>
      </c>
      <c r="C17" s="13">
        <f>GETPIVOTDATA("WAC Total",$A$3,"NAICS Title","Arts, Entertainment, and Recreation","DCP Macro Sector","Local Services")/GETPIVOTDATA("WAC Total",$A$3)</f>
        <v>3.1613426005181406E-3</v>
      </c>
      <c r="E17" s="5"/>
    </row>
    <row r="18" spans="1:5" x14ac:dyDescent="0.2">
      <c r="A18" s="3" t="s">
        <v>49</v>
      </c>
      <c r="B18" s="4">
        <v>1914</v>
      </c>
      <c r="C18" s="13">
        <f>GETPIVOTDATA("WAC Total",$A$3,"NAICS Title","Other Services [except Public Administration]","DCP Macro Sector","Local Services")/GETPIVOTDATA("WAC Total",$A$3)</f>
        <v>2.1844078474338342E-2</v>
      </c>
      <c r="E18" s="5"/>
    </row>
    <row r="19" spans="1:5" x14ac:dyDescent="0.2">
      <c r="A19" s="3" t="s">
        <v>21</v>
      </c>
      <c r="B19" s="4">
        <v>6874</v>
      </c>
      <c r="C19" s="13">
        <f>GETPIVOTDATA("WAC Total",$A$3,"NAICS Title","Retail Trade","DCP Macro Sector","Local Services")/GETPIVOTDATA("WAC Total",$A$3)</f>
        <v>7.8451512765204692E-2</v>
      </c>
      <c r="E19" s="5"/>
    </row>
    <row r="20" spans="1:5" x14ac:dyDescent="0.2">
      <c r="A20" s="2" t="s">
        <v>28</v>
      </c>
      <c r="B20" s="7">
        <v>23871</v>
      </c>
      <c r="C20" s="12">
        <f>GETPIVOTDATA("WAC Total",$A$3,"DCP Macro Sector","Office")/GETPIVOTDATA("WAC Total",$A$3)</f>
        <v>0.27243469031396583</v>
      </c>
      <c r="E20" s="8"/>
    </row>
    <row r="21" spans="1:5" x14ac:dyDescent="0.2">
      <c r="A21" s="3" t="s">
        <v>38</v>
      </c>
      <c r="B21" s="4">
        <v>14861</v>
      </c>
      <c r="C21" s="13">
        <f>GETPIVOTDATA("WAC Total",$A$3,"NAICS Title","Administrative and Support and Waste Management and Remediation Services","DCP Macro Sector","Office")/GETPIVOTDATA("WAC Total",$A$3)</f>
        <v>0.16960545987833966</v>
      </c>
      <c r="E21" s="5"/>
    </row>
    <row r="22" spans="1:5" x14ac:dyDescent="0.2">
      <c r="A22" s="3" t="s">
        <v>30</v>
      </c>
      <c r="B22" s="4">
        <v>2871</v>
      </c>
      <c r="C22" s="13">
        <f>GETPIVOTDATA("WAC Total",$A$3,"NAICS Title","Finance and Insurance","DCP Macro Sector","Office")/GETPIVOTDATA("WAC Total",$A$3)</f>
        <v>3.2766117711507517E-2</v>
      </c>
      <c r="E22" s="5"/>
    </row>
    <row r="23" spans="1:5" x14ac:dyDescent="0.2">
      <c r="A23" s="3" t="s">
        <v>27</v>
      </c>
      <c r="B23" s="4">
        <v>1334</v>
      </c>
      <c r="C23" s="13">
        <f>GETPIVOTDATA("WAC Total",$A$3,"NAICS Title","Information","DCP Macro Sector","Office")/GETPIVOTDATA("WAC Total",$A$3)</f>
        <v>1.5224660754841876E-2</v>
      </c>
      <c r="E23" s="5"/>
    </row>
    <row r="24" spans="1:5" x14ac:dyDescent="0.2">
      <c r="A24" s="3" t="s">
        <v>36</v>
      </c>
      <c r="B24" s="4">
        <v>238</v>
      </c>
      <c r="C24" s="13">
        <f>GETPIVOTDATA("WAC Total",$A$3,"NAICS Title","Management of Companies and Enterprises","DCP Macro Sector","Office")/GETPIVOTDATA("WAC Total",$A$3)</f>
        <v>2.7162438228278611E-3</v>
      </c>
      <c r="E24" s="5"/>
    </row>
    <row r="25" spans="1:5" x14ac:dyDescent="0.2">
      <c r="A25" s="3" t="s">
        <v>34</v>
      </c>
      <c r="B25" s="4">
        <v>2911</v>
      </c>
      <c r="C25" s="13">
        <f>GETPIVOTDATA("WAC Total",$A$3,"NAICS Title","Professional, Scientific, and Technical Services","DCP Macro Sector","Office")/GETPIVOTDATA("WAC Total",$A$3)</f>
        <v>3.3222629278369338E-2</v>
      </c>
      <c r="E25" s="5"/>
    </row>
    <row r="26" spans="1:5" x14ac:dyDescent="0.2">
      <c r="A26" s="3" t="s">
        <v>32</v>
      </c>
      <c r="B26" s="4">
        <v>1656</v>
      </c>
      <c r="C26" s="13">
        <f>GETPIVOTDATA("WAC Total",$A$3,"NAICS Title","Real Estate and Rental and Leasing","DCP Macro Sector","Office")/GETPIVOTDATA("WAC Total",$A$3)</f>
        <v>1.889957886807957E-2</v>
      </c>
      <c r="E26" s="5"/>
    </row>
    <row r="27" spans="1:5" x14ac:dyDescent="0.2">
      <c r="A27" s="2" t="s">
        <v>51</v>
      </c>
      <c r="B27" s="7">
        <v>12978</v>
      </c>
      <c r="C27" s="12">
        <f>GETPIVOTDATA("WAC Total",$A$3,"DCP Macro Sector","Public Administration")/GETPIVOTDATA("WAC Total",$A$3)</f>
        <v>0.14811517786831924</v>
      </c>
      <c r="E27" s="8"/>
    </row>
    <row r="28" spans="1:5" x14ac:dyDescent="0.2">
      <c r="A28" s="3" t="s">
        <v>51</v>
      </c>
      <c r="B28" s="9">
        <v>12978</v>
      </c>
      <c r="C28" s="14">
        <f>GETPIVOTDATA("WAC Total",$A$3,"NAICS Title","Public Administration","DCP Macro Sector","Public Administration")/GETPIVOTDATA("WAC Total",$A$3)</f>
        <v>0.14811517786831924</v>
      </c>
      <c r="E28" s="10"/>
    </row>
    <row r="29" spans="1:5" x14ac:dyDescent="0.2">
      <c r="A29" s="2" t="s">
        <v>52</v>
      </c>
      <c r="B29" s="4">
        <v>87621</v>
      </c>
      <c r="C29" s="15">
        <f>GETPIVOTDATA("WAC Total",$A$3)/GETPIVOTDATA("WAC Total",$A$3)</f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F4326-B9B2-1B4B-8836-E80D28A83516}">
  <dimension ref="A1:E21"/>
  <sheetViews>
    <sheetView workbookViewId="0">
      <selection sqref="A1:E21"/>
    </sheetView>
  </sheetViews>
  <sheetFormatPr baseColWidth="10" defaultRowHeight="16" x14ac:dyDescent="0.2"/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">
      <c r="A2" t="s">
        <v>5</v>
      </c>
      <c r="B2">
        <v>6</v>
      </c>
      <c r="C2">
        <v>11</v>
      </c>
      <c r="D2" t="s">
        <v>6</v>
      </c>
      <c r="E2" t="s">
        <v>7</v>
      </c>
    </row>
    <row r="3" spans="1:5" x14ac:dyDescent="0.2">
      <c r="A3" t="s">
        <v>8</v>
      </c>
      <c r="B3">
        <v>0</v>
      </c>
      <c r="C3">
        <v>21</v>
      </c>
      <c r="D3" t="s">
        <v>9</v>
      </c>
      <c r="E3" t="s">
        <v>7</v>
      </c>
    </row>
    <row r="4" spans="1:5" x14ac:dyDescent="0.2">
      <c r="A4" t="s">
        <v>10</v>
      </c>
      <c r="B4">
        <v>13</v>
      </c>
      <c r="C4">
        <v>22</v>
      </c>
      <c r="D4" t="s">
        <v>11</v>
      </c>
      <c r="E4" t="s">
        <v>7</v>
      </c>
    </row>
    <row r="5" spans="1:5" x14ac:dyDescent="0.2">
      <c r="A5" t="s">
        <v>12</v>
      </c>
      <c r="B5">
        <v>13187</v>
      </c>
      <c r="C5">
        <v>23</v>
      </c>
      <c r="D5" t="s">
        <v>13</v>
      </c>
      <c r="E5" t="s">
        <v>7</v>
      </c>
    </row>
    <row r="6" spans="1:5" x14ac:dyDescent="0.2">
      <c r="A6" t="s">
        <v>14</v>
      </c>
      <c r="B6">
        <v>4476</v>
      </c>
      <c r="C6" t="s">
        <v>15</v>
      </c>
      <c r="D6" t="s">
        <v>16</v>
      </c>
      <c r="E6" t="s">
        <v>7</v>
      </c>
    </row>
    <row r="7" spans="1:5" x14ac:dyDescent="0.2">
      <c r="A7" t="s">
        <v>17</v>
      </c>
      <c r="B7">
        <v>4738</v>
      </c>
      <c r="C7">
        <v>42</v>
      </c>
      <c r="D7" t="s">
        <v>18</v>
      </c>
      <c r="E7" t="s">
        <v>7</v>
      </c>
    </row>
    <row r="8" spans="1:5" x14ac:dyDescent="0.2">
      <c r="A8" t="s">
        <v>19</v>
      </c>
      <c r="B8">
        <v>6874</v>
      </c>
      <c r="C8" t="s">
        <v>20</v>
      </c>
      <c r="D8" t="s">
        <v>21</v>
      </c>
      <c r="E8" t="s">
        <v>22</v>
      </c>
    </row>
    <row r="9" spans="1:5" x14ac:dyDescent="0.2">
      <c r="A9" t="s">
        <v>23</v>
      </c>
      <c r="B9">
        <v>5490</v>
      </c>
      <c r="C9" t="s">
        <v>24</v>
      </c>
      <c r="D9" t="s">
        <v>25</v>
      </c>
      <c r="E9" t="s">
        <v>7</v>
      </c>
    </row>
    <row r="10" spans="1:5" x14ac:dyDescent="0.2">
      <c r="A10" t="s">
        <v>26</v>
      </c>
      <c r="B10">
        <v>1334</v>
      </c>
      <c r="C10">
        <v>51</v>
      </c>
      <c r="D10" t="s">
        <v>27</v>
      </c>
      <c r="E10" t="s">
        <v>28</v>
      </c>
    </row>
    <row r="11" spans="1:5" x14ac:dyDescent="0.2">
      <c r="A11" t="s">
        <v>29</v>
      </c>
      <c r="B11">
        <v>2871</v>
      </c>
      <c r="C11">
        <v>52</v>
      </c>
      <c r="D11" t="s">
        <v>30</v>
      </c>
      <c r="E11" t="s">
        <v>28</v>
      </c>
    </row>
    <row r="12" spans="1:5" x14ac:dyDescent="0.2">
      <c r="A12" t="s">
        <v>31</v>
      </c>
      <c r="B12">
        <v>1656</v>
      </c>
      <c r="C12">
        <v>53</v>
      </c>
      <c r="D12" t="s">
        <v>32</v>
      </c>
      <c r="E12" t="s">
        <v>28</v>
      </c>
    </row>
    <row r="13" spans="1:5" x14ac:dyDescent="0.2">
      <c r="A13" t="s">
        <v>33</v>
      </c>
      <c r="B13">
        <v>2911</v>
      </c>
      <c r="C13">
        <v>54</v>
      </c>
      <c r="D13" t="s">
        <v>34</v>
      </c>
      <c r="E13" t="s">
        <v>28</v>
      </c>
    </row>
    <row r="14" spans="1:5" x14ac:dyDescent="0.2">
      <c r="A14" t="s">
        <v>35</v>
      </c>
      <c r="B14">
        <v>238</v>
      </c>
      <c r="C14">
        <v>55</v>
      </c>
      <c r="D14" t="s">
        <v>36</v>
      </c>
      <c r="E14" t="s">
        <v>28</v>
      </c>
    </row>
    <row r="15" spans="1:5" x14ac:dyDescent="0.2">
      <c r="A15" t="s">
        <v>37</v>
      </c>
      <c r="B15">
        <v>14861</v>
      </c>
      <c r="C15">
        <v>56</v>
      </c>
      <c r="D15" t="s">
        <v>38</v>
      </c>
      <c r="E15" t="s">
        <v>28</v>
      </c>
    </row>
    <row r="16" spans="1:5" x14ac:dyDescent="0.2">
      <c r="A16" t="s">
        <v>39</v>
      </c>
      <c r="B16">
        <v>3804</v>
      </c>
      <c r="C16">
        <v>61</v>
      </c>
      <c r="D16" t="s">
        <v>40</v>
      </c>
      <c r="E16" t="s">
        <v>41</v>
      </c>
    </row>
    <row r="17" spans="1:5" x14ac:dyDescent="0.2">
      <c r="A17" t="s">
        <v>42</v>
      </c>
      <c r="B17">
        <v>6790</v>
      </c>
      <c r="C17">
        <v>62</v>
      </c>
      <c r="D17" t="s">
        <v>43</v>
      </c>
      <c r="E17" t="s">
        <v>41</v>
      </c>
    </row>
    <row r="18" spans="1:5" x14ac:dyDescent="0.2">
      <c r="A18" t="s">
        <v>44</v>
      </c>
      <c r="B18">
        <v>277</v>
      </c>
      <c r="C18">
        <v>71</v>
      </c>
      <c r="D18" t="s">
        <v>45</v>
      </c>
      <c r="E18" t="s">
        <v>22</v>
      </c>
    </row>
    <row r="19" spans="1:5" x14ac:dyDescent="0.2">
      <c r="A19" t="s">
        <v>46</v>
      </c>
      <c r="B19">
        <v>3203</v>
      </c>
      <c r="C19">
        <v>72</v>
      </c>
      <c r="D19" t="s">
        <v>47</v>
      </c>
      <c r="E19" t="s">
        <v>22</v>
      </c>
    </row>
    <row r="20" spans="1:5" x14ac:dyDescent="0.2">
      <c r="A20" t="s">
        <v>48</v>
      </c>
      <c r="B20">
        <v>1914</v>
      </c>
      <c r="C20">
        <v>81</v>
      </c>
      <c r="D20" t="s">
        <v>49</v>
      </c>
      <c r="E20" t="s">
        <v>22</v>
      </c>
    </row>
    <row r="21" spans="1:5" x14ac:dyDescent="0.2">
      <c r="A21" t="s">
        <v>50</v>
      </c>
      <c r="B21">
        <v>12978</v>
      </c>
      <c r="C21">
        <v>92</v>
      </c>
      <c r="D21" t="s">
        <v>51</v>
      </c>
      <c r="E21" t="s">
        <v>51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cd_402_wac_totals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Bogitsh</dc:creator>
  <cp:lastModifiedBy>Jacob Bogitsh</cp:lastModifiedBy>
  <dcterms:created xsi:type="dcterms:W3CDTF">2024-06-24T04:55:25Z</dcterms:created>
  <dcterms:modified xsi:type="dcterms:W3CDTF">2024-06-26T04:07:01Z</dcterms:modified>
</cp:coreProperties>
</file>